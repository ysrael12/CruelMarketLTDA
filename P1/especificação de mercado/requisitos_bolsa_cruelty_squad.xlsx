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mart\Downloads\"/>
    </mc:Choice>
  </mc:AlternateContent>
  <xr:revisionPtr revIDLastSave="0" documentId="13_ncr:1_{7EEADCCB-3D3E-4992-A515-E9909625279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sumo" sheetId="1" r:id="rId1"/>
    <sheet name="Requisitos" sheetId="2" r:id="rId2"/>
    <sheet name="Parâmetros" sheetId="3" r:id="rId3"/>
    <sheet name="Ativos" sheetId="4" r:id="rId4"/>
    <sheet name="Decisões" sheetId="5" r:id="rId5"/>
  </sheets>
  <definedNames>
    <definedName name="_xlnm._FilterDatabase" localSheetId="3" hidden="1">Ativos!$A$1:$G$11</definedName>
    <definedName name="_xlnm._FilterDatabase" localSheetId="4" hidden="1">Decisões!$A$1:$D$13</definedName>
    <definedName name="_xlnm._FilterDatabase" localSheetId="2" hidden="1">Parâmetros!$A$1:$D$21</definedName>
    <definedName name="_xlnm._FilterDatabase" localSheetId="1" hidden="1">Requisitos!$A$1:$I$30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3" l="1"/>
  <c r="B20" i="3"/>
  <c r="B19" i="3"/>
  <c r="B18" i="3"/>
  <c r="B17" i="3"/>
  <c r="E10" i="1"/>
  <c r="D10" i="1"/>
  <c r="C10" i="1"/>
  <c r="B10" i="1"/>
  <c r="E9" i="1"/>
  <c r="E11" i="1" s="1"/>
  <c r="D9" i="1"/>
  <c r="D11" i="1" s="1"/>
  <c r="C9" i="1"/>
  <c r="B9" i="1"/>
  <c r="B11" i="1" s="1"/>
  <c r="C11" i="1" l="1"/>
</calcChain>
</file>

<file path=xl/sharedStrings.xml><?xml version="1.0" encoding="utf-8"?>
<sst xmlns="http://schemas.openxmlformats.org/spreadsheetml/2006/main" count="419" uniqueCount="256">
  <si>
    <t>Simulador de Bolsa Multiplayer: requisitos (temática Cruelty Squad)</t>
  </si>
  <si>
    <t>Entrega parcial: 21/10/2026 (P1). Entrega final: 30/11/2026 (P2).</t>
  </si>
  <si>
    <t>Legenda</t>
  </si>
  <si>
    <t>Azul = entrada editável. Amarelo = preencher o responsável. (A) = decisão assumida, a confirmar.</t>
  </si>
  <si>
    <t>Edite as colunas Status e Responsável na aba Requisitos; os números abaixo se atualizam.</t>
  </si>
  <si>
    <t>Prioridade</t>
  </si>
  <si>
    <t>Total</t>
  </si>
  <si>
    <t>Pendente</t>
  </si>
  <si>
    <t>Em andamento</t>
  </si>
  <si>
    <t>Concluído</t>
  </si>
  <si>
    <t>P1</t>
  </si>
  <si>
    <t>P2</t>
  </si>
  <si>
    <t>Abas</t>
  </si>
  <si>
    <t>Requisitos: lista completa (RF/RNF) com prioridade, status e responsável.</t>
  </si>
  <si>
    <t>Parâmetros: tempos e valores da simulação, com estimativas calculadas.</t>
  </si>
  <si>
    <t>Ativos: catálogo inicial e mensagens de GAME OVER.</t>
  </si>
  <si>
    <t>Decisões: o que foi decidido e o que foi assumido.</t>
  </si>
  <si>
    <t>ID</t>
  </si>
  <si>
    <t>Tipo</t>
  </si>
  <si>
    <t>Requisito</t>
  </si>
  <si>
    <t>Origem</t>
  </si>
  <si>
    <t>Req. do enunciado</t>
  </si>
  <si>
    <t>Status</t>
  </si>
  <si>
    <t>Responsável</t>
  </si>
  <si>
    <t>Observações</t>
  </si>
  <si>
    <t>RF01</t>
  </si>
  <si>
    <t>RF</t>
  </si>
  <si>
    <t>Ativos comuns de três categorias (Ações, Peças, Peixes), cada um com ticker, nome, descrição e perfil de preço. Sem mecânica de pesca/coleta.</t>
  </si>
  <si>
    <t>Jogo + decisão</t>
  </si>
  <si>
    <t>R4</t>
  </si>
  <si>
    <t>Q6: peças e peixes são ativos comuns.</t>
  </si>
  <si>
    <t>RF02</t>
  </si>
  <si>
    <t>Cada ativo tem perfil de preço com piso, teto e comportamento: CICLO, RANDOM_WALK, FIXO ou FALENCIA.</t>
  </si>
  <si>
    <t>Jogo</t>
  </si>
  <si>
    <t>R4, R6</t>
  </si>
  <si>
    <t>RF03</t>
  </si>
  <si>
    <t>Serviço de mercado gera o preço de referência a cada tick de 1 s, com ruído aleatório. O preço exibido ao jogador é o do último negócio do livro; sem negócio ainda, vale o de referência.</t>
  </si>
  <si>
    <t>Jogo + enunciado</t>
  </si>
  <si>
    <t>R8</t>
  </si>
  <si>
    <t>Q1 (híbrido) e Q7: a referência só ancora os NPCs.</t>
  </si>
  <si>
    <t>RF04</t>
  </si>
  <si>
    <t>Ativos de ciclo completam subida e descida em 20–60 s, entre piso e teto próprios.</t>
  </si>
  <si>
    <t>Parâmetros na aba Parâmetros.</t>
  </si>
  <si>
    <t>RF05</t>
  </si>
  <si>
    <t>Falência terminal: ao falir, o ativo vira FALIDO e não reabre. O label exibe "GAME OVER" com a frase sarcástica da empresa. Negociação bloqueada; ordens abertas canceladas e reservas devolvidas; posições valem R$ 0; ativo some das listas de compra/venda mas continua visível.</t>
  </si>
  <si>
    <t>R5, R6</t>
  </si>
  <si>
    <t>Q2. (A) cancelamento de ordens e posições a R$ 0 foram assumidos.</t>
  </si>
  <si>
    <t>RF06</t>
  </si>
  <si>
    <t>Ativo bluechip (CRUS) com tendência de alta estável, sem quedas fortes.</t>
  </si>
  <si>
    <t>RF08</t>
  </si>
  <si>
    <t>Capital inicial configurável por jogador.</t>
  </si>
  <si>
    <t>R2</t>
  </si>
  <si>
    <t>(A) Sugestão: R$ 10.000.</t>
  </si>
  <si>
    <t>RF09</t>
  </si>
  <si>
    <t>Comprar e vender ativos ativos, com validação de saldo e de quantidade.</t>
  </si>
  <si>
    <t>R5</t>
  </si>
  <si>
    <t>RF10</t>
  </si>
  <si>
    <t>Livro de ofertas por ativo, com prioridade de preço e depois de tempo.</t>
  </si>
  <si>
    <t>Enunciado</t>
  </si>
  <si>
    <t>R6, R7</t>
  </si>
  <si>
    <t>RF11</t>
  </si>
  <si>
    <t>Matching engine casa ordens compatíveis e gera negociações com saldo e carteira atualizados de forma atômica.</t>
  </si>
  <si>
    <t>R7</t>
  </si>
  <si>
    <t>RF12</t>
  </si>
  <si>
    <t>Eventos aleatórios sorteados a cada 45–90 s, com tipo, ativo-alvo e duração de 15–30 s. Tipos regulares: FRENZY, SHORT_SQUEEZE, CRASH, DEMANDA_ALTA, DEMANDA_BAIXA. O FALENCIA_FATAL não entra no sorteio comum.</t>
  </si>
  <si>
    <t>Seção 9</t>
  </si>
  <si>
    <t>Q3: eventos puramente aleatórios.</t>
  </si>
  <si>
    <t>RF13</t>
  </si>
  <si>
    <t>Cada evento publica um anúncio estilo "briefing" poucos segundos antes do efeito.</t>
  </si>
  <si>
    <t>(A) Antecedência de 5 s.</t>
  </si>
  <si>
    <t>RF14</t>
  </si>
  <si>
    <t>Histórico de eventos consultável no Home Broker (sem roteiro fixo).</t>
  </si>
  <si>
    <t>RF16</t>
  </si>
  <si>
    <t>NPCs com perfis distintos: ciclista (compra no piso, vende no teto), aleatório e conservador (bluechip).</t>
  </si>
  <si>
    <t>Jogo + seção 8</t>
  </si>
  <si>
    <t>R10</t>
  </si>
  <si>
    <t>P1 com 1 perfil; os demais na P2.</t>
  </si>
  <si>
    <t>RF17</t>
  </si>
  <si>
    <t>Home Broker exibe gráfico de preço, saldo, patrimônio, carteira, livro de ofertas e o label GAME OVER.</t>
  </si>
  <si>
    <t>R3</t>
  </si>
  <si>
    <t>RF18</t>
  </si>
  <si>
    <t>Ranking de investidores por patrimônio.</t>
  </si>
  <si>
    <t>Seção 1</t>
  </si>
  <si>
    <t>RF20</t>
  </si>
  <si>
    <t>Exatamente uma falência por sessão de mercado, agendada uma única vez em instante aleatório entre 2 e 5 min após o início. O alvo é sorteado entre ativos marcados pode_falir (GAGA, GTC). Se o alvo for GAGA, pode começar como SHORT_SQUEEZE.</t>
  </si>
  <si>
    <t>Decisão</t>
  </si>
  <si>
    <t>Garante o GAME OVER na validação de 10 min.</t>
  </si>
  <si>
    <t>RF22</t>
  </si>
  <si>
    <t>Comando de administrador dispara um evento específico.</t>
  </si>
  <si>
    <t>Decisão (A)</t>
  </si>
  <si>
    <t>Plano B para a demo.</t>
  </si>
  <si>
    <t>RF23</t>
  </si>
  <si>
    <t>Mensagem de GAME OVER fixa por ativo (campo mensagem_game_over na configuração).</t>
  </si>
  <si>
    <t>Seção 5.3</t>
  </si>
  <si>
    <t>Textos na aba Ativos.</t>
  </si>
  <si>
    <t>RNF01</t>
  </si>
  <si>
    <t>RNF</t>
  </si>
  <si>
    <t>Relógio de mercado único e global: o tick de preço é gerado por um único serviço.</t>
  </si>
  <si>
    <t>RNF02</t>
  </si>
  <si>
    <t>R8, 7.2</t>
  </si>
  <si>
    <t>RNF03</t>
  </si>
  <si>
    <t>Toda ordem passa por uma sequência única por ativo (particionamento por ticker), com ordenação determinística no livro.</t>
  </si>
  <si>
    <t>7.3</t>
  </si>
  <si>
    <t>RNF04</t>
  </si>
  <si>
    <t>Saldo e carteira atômicos: nenhum saldo ou ativo pode ser gasto duas vezes em ordens concorrentes (reserva ao inserir a ordem).</t>
  </si>
  <si>
    <t>RNF05</t>
  </si>
  <si>
    <t>Geração de preço e de eventos reproduzível, com seed configurável (testes de concorrência e carga).</t>
  </si>
  <si>
    <t>R12</t>
  </si>
  <si>
    <t>Absorve o antigo RF21.</t>
  </si>
  <si>
    <t>RNF06</t>
  </si>
  <si>
    <t>Estado de mercado (preço, fase do ciclo, eventos ativos) persistido para recuperação após falha.</t>
  </si>
  <si>
    <t>R9, R11</t>
  </si>
  <si>
    <t>RNF07</t>
  </si>
  <si>
    <t>Logs rastreáveis de ordem (ORDER_RECEIVED → … → CLIENTS_NOTIFIED) e de evento (EVENT_TRIGGERED → PRICE_ADJUSTED).</t>
  </si>
  <si>
    <t>R13</t>
  </si>
  <si>
    <t>RNF08</t>
  </si>
  <si>
    <t>Parâmetros de ativos e eventos configuráveis por arquivo, sem recompilar.</t>
  </si>
  <si>
    <t>R15</t>
  </si>
  <si>
    <t>RNF09</t>
  </si>
  <si>
    <t>Falha controlada na demo: derrubar o serviço de mercado ou de eventos e mostrar a retomada do estado persistido, sem perder ordens abertas.</t>
  </si>
  <si>
    <t>Seção 15</t>
  </si>
  <si>
    <t>RNF10</t>
  </si>
  <si>
    <t>Agendamento da falência e estado FALIDO persistidos: após queda e retorno do serviço, a falência não dispara de novo nem se perde.</t>
  </si>
  <si>
    <t>Boa demo de falha: derrubar o serviço logo após a falência.</t>
  </si>
  <si>
    <t>Parâmetro</t>
  </si>
  <si>
    <t>Valor</t>
  </si>
  <si>
    <t>Unidade</t>
  </si>
  <si>
    <t>Observação</t>
  </si>
  <si>
    <t>Tick de preço</t>
  </si>
  <si>
    <t>s</t>
  </si>
  <si>
    <t>Decisão: relógio global único.</t>
  </si>
  <si>
    <t>Ciclo do ativo (mín.)</t>
  </si>
  <si>
    <t>RF04.</t>
  </si>
  <si>
    <t>Ciclo do ativo (máx.)</t>
  </si>
  <si>
    <t>Intervalo entre eventos (mín.)</t>
  </si>
  <si>
    <t>RF12.</t>
  </si>
  <si>
    <t>Intervalo entre eventos (máx.)</t>
  </si>
  <si>
    <t>Duração de um evento (mín.)</t>
  </si>
  <si>
    <t>Duração de um evento (máx.)</t>
  </si>
  <si>
    <t>Antecedência do briefing</t>
  </si>
  <si>
    <t>(A) Assumido; RF13.</t>
  </si>
  <si>
    <t>Falência agendada (mín.)</t>
  </si>
  <si>
    <t>RF20: 2 min após o início.</t>
  </si>
  <si>
    <t>Falência agendada (máx.)</t>
  </si>
  <si>
    <t>RF20: 5 min após o início.</t>
  </si>
  <si>
    <t>Janela de validação</t>
  </si>
  <si>
    <t>Decisão: o professor valida em no máximo 10 min.</t>
  </si>
  <si>
    <t>Capital inicial por jogador</t>
  </si>
  <si>
    <t>R$</t>
  </si>
  <si>
    <t>(A) Sugestão; configurável (RF08).</t>
  </si>
  <si>
    <t>Limiar de falência (preço)</t>
  </si>
  <si>
    <t>(A) Inspirado no jogo, que trata ativo abaixo de ~US$ 1 como falido.</t>
  </si>
  <si>
    <t>Estimativas (fórmulas)</t>
  </si>
  <si>
    <t>Ciclo médio</t>
  </si>
  <si>
    <t>Ponto médio de 20–60 s.</t>
  </si>
  <si>
    <t>Ciclos completos na janela de validação</t>
  </si>
  <si>
    <t>ciclos</t>
  </si>
  <si>
    <t>Janela ÷ ciclo médio.</t>
  </si>
  <si>
    <t>Intervalo médio entre eventos</t>
  </si>
  <si>
    <t>Eventos esperados na janela de validação</t>
  </si>
  <si>
    <t>eventos</t>
  </si>
  <si>
    <t>Janela ÷ intervalo médio.</t>
  </si>
  <si>
    <t>Falência garantida dentro da janela?</t>
  </si>
  <si>
    <t>Compara o máximo da falência com a janela.</t>
  </si>
  <si>
    <t>Ticker</t>
  </si>
  <si>
    <t>Nome</t>
  </si>
  <si>
    <t>Categoria</t>
  </si>
  <si>
    <t>Perfil de preço</t>
  </si>
  <si>
    <t>Pode falir?</t>
  </si>
  <si>
    <t>Mensagem GAME OVER</t>
  </si>
  <si>
    <t>CRUS</t>
  </si>
  <si>
    <t>Cruelty Squad</t>
  </si>
  <si>
    <t>Ação</t>
  </si>
  <si>
    <t>BLUECHIP (alta estável)</t>
  </si>
  <si>
    <t>Não</t>
  </si>
  <si>
    <t>Bluechip de segurança; quase não cai.</t>
  </si>
  <si>
    <t>GDHD</t>
  </si>
  <si>
    <t>Godhead Heavy Industries</t>
  </si>
  <si>
    <t>CICLO (amplo)</t>
  </si>
  <si>
    <t>Empresa em decadência.</t>
  </si>
  <si>
    <t>GTC</t>
  </si>
  <si>
    <t>G-Tech</t>
  </si>
  <si>
    <t>CICLO</t>
  </si>
  <si>
    <t>Sim</t>
  </si>
  <si>
    <t>Pivotou para o além.</t>
  </si>
  <si>
    <t>Startup hype. Frase é exemplo; troquem à vontade.</t>
  </si>
  <si>
    <t>AOI</t>
  </si>
  <si>
    <t>Advanced Orbital Instruments</t>
  </si>
  <si>
    <t>RANDOM_WALK (alta volatilidade)</t>
  </si>
  <si>
    <t>GAGA</t>
  </si>
  <si>
    <t>GamesGames</t>
  </si>
  <si>
    <t>RANDOM_WALK + SHORT_SQUEEZE frequente</t>
  </si>
  <si>
    <t>Game over, literalmente.</t>
  </si>
  <si>
    <t>Referência à GameStop. Frase é exemplo.</t>
  </si>
  <si>
    <t>CSFT</t>
  </si>
  <si>
    <t>Consumer Softproducts</t>
  </si>
  <si>
    <t>CICLO (curto)</t>
  </si>
  <si>
    <t>Bom para testes de carga.</t>
  </si>
  <si>
    <t>CIV</t>
  </si>
  <si>
    <t>Civilian</t>
  </si>
  <si>
    <t>Peixe</t>
  </si>
  <si>
    <t>CICLO (curto), preço baixo</t>
  </si>
  <si>
    <t>Ativo barato e volátil.</t>
  </si>
  <si>
    <t>SLRP</t>
  </si>
  <si>
    <t>Slurper</t>
  </si>
  <si>
    <t>BRNY</t>
  </si>
  <si>
    <t>Brainy</t>
  </si>
  <si>
    <t>RANDOM_WALK, preço alto</t>
  </si>
  <si>
    <t>Peixe caro e raro.</t>
  </si>
  <si>
    <t>(a definir)</t>
  </si>
  <si>
    <t>Órgão (ticker próprio)</t>
  </si>
  <si>
    <t>Peça</t>
  </si>
  <si>
    <t>RANDOM_WALK</t>
  </si>
  <si>
    <t>Os tickers de peças não foram levantados.</t>
  </si>
  <si>
    <t>#</t>
  </si>
  <si>
    <t>Resolução</t>
  </si>
  <si>
    <t>Situação</t>
  </si>
  <si>
    <t>Q1</t>
  </si>
  <si>
    <t>Onde o preço nasce?</t>
  </si>
  <si>
    <t>Híbrido: preço de referência algorítmico ancora os NPCs; execução por livro de ofertas e matching engine.</t>
  </si>
  <si>
    <t>Fechada</t>
  </si>
  <si>
    <t>Q2</t>
  </si>
  <si>
    <t>Falência</t>
  </si>
  <si>
    <t>Label GAME OVER com zoeira da empresa. Terminal, sem reabertura. Apenas 1 falência por sessão.</t>
  </si>
  <si>
    <t>Q3</t>
  </si>
  <si>
    <t>Gatilho dos eventos</t>
  </si>
  <si>
    <t>Puramente aleatório.</t>
  </si>
  <si>
    <t>Q4</t>
  </si>
  <si>
    <t>Aceleração de tempo</t>
  </si>
  <si>
    <t>Não haverá aceleração. Relógio global único.</t>
  </si>
  <si>
    <t>Q5</t>
  </si>
  <si>
    <t>Escala de tempo</t>
  </si>
  <si>
    <t>Ciclos de 20–60 s; validação em no máximo 10 min.</t>
  </si>
  <si>
    <t>Q6</t>
  </si>
  <si>
    <t>Peças e peixes</t>
  </si>
  <si>
    <t>Ativos comuns, sem pesca/coleta.</t>
  </si>
  <si>
    <t>Q7</t>
  </si>
  <si>
    <t>Efeito das ordens no preço</t>
  </si>
  <si>
    <t>Segue o enunciado: preço exibido é o do último negócio.</t>
  </si>
  <si>
    <t>Q8</t>
  </si>
  <si>
    <t>Temática</t>
  </si>
  <si>
    <t>Mantida a do jogo (tickers e empresas).</t>
  </si>
  <si>
    <t>F1</t>
  </si>
  <si>
    <t>Quando a falência dispara</t>
  </si>
  <si>
    <t>Uma vez por sessão, aleatória entre 2 e 5 min; alvo entre GAGA e GTC; mensagem fixa por ativo.</t>
  </si>
  <si>
    <t>F2</t>
  </si>
  <si>
    <t>Reinício do estado de falência</t>
  </si>
  <si>
    <t>Zera só quando o administrador reinicia o mercado, com novo sorteio.</t>
  </si>
  <si>
    <t>Assumida (A)</t>
  </si>
  <si>
    <t>F3</t>
  </si>
  <si>
    <t>Itens removidos</t>
  </si>
  <si>
    <t>RF07 (mecânica de peixes), RF15 (inversão por dia da semana), RF19 (aceleração de tempo). A numeração dos RF não foi renumerada, para manter rastreabilidade.</t>
  </si>
  <si>
    <t>F4</t>
  </si>
  <si>
    <t>Merge</t>
  </si>
  <si>
    <t>O antigo RF21 (seed) foi absorvido por RNF05.</t>
  </si>
  <si>
    <t>Preço e eventos propagados a todos os clientes em tempo real (WebSocket), com número de sequência para detectar perdas.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</si>
</sst>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zoomScaleNormal="100" workbookViewId="0"/>
  </sheetViews>
  <sheetFormatPr defaultColWidth="8.6640625" defaultRowHeight="14.4" x14ac:dyDescent="0.3"/>
  <cols>
    <col min="1" max="1" width="24" customWidth="1"/>
    <col min="2" max="5" width="16" customWidth="1"/>
  </cols>
  <sheetData>
    <row r="1" spans="1:5" ht="17.399999999999999" x14ac:dyDescent="0.3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</row>
    <row r="5" spans="1:5" x14ac:dyDescent="0.3">
      <c r="A5" s="2" t="s">
        <v>3</v>
      </c>
    </row>
    <row r="6" spans="1:5" x14ac:dyDescent="0.3">
      <c r="A6" s="2" t="s">
        <v>4</v>
      </c>
    </row>
    <row r="8" spans="1:5" x14ac:dyDescent="0.3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</row>
    <row r="9" spans="1:5" x14ac:dyDescent="0.3">
      <c r="A9" s="5" t="s">
        <v>10</v>
      </c>
      <c r="B9" s="6">
        <f>COUNTIF(Requisitos!$F$2:$F$30,A9)</f>
        <v>16</v>
      </c>
      <c r="C9" s="6">
        <f>COUNTIFS(Requisitos!$F$2:$F$30,$A9,Requisitos!$G$2:$G$30,C$8)</f>
        <v>16</v>
      </c>
      <c r="D9" s="6">
        <f>COUNTIFS(Requisitos!$F$2:$F$30,$A9,Requisitos!$G$2:$G$30,D$8)</f>
        <v>0</v>
      </c>
      <c r="E9" s="6">
        <f>COUNTIFS(Requisitos!$F$2:$F$30,$A9,Requisitos!$G$2:$G$30,E$8)</f>
        <v>0</v>
      </c>
    </row>
    <row r="10" spans="1:5" x14ac:dyDescent="0.3">
      <c r="A10" s="5" t="s">
        <v>11</v>
      </c>
      <c r="B10" s="6">
        <f>COUNTIF(Requisitos!$F$2:$F$30,A10)</f>
        <v>13</v>
      </c>
      <c r="C10" s="6">
        <f>COUNTIFS(Requisitos!$F$2:$F$30,$A10,Requisitos!$G$2:$G$30,C$8)</f>
        <v>13</v>
      </c>
      <c r="D10" s="6">
        <f>COUNTIFS(Requisitos!$F$2:$F$30,$A10,Requisitos!$G$2:$G$30,D$8)</f>
        <v>0</v>
      </c>
      <c r="E10" s="6">
        <f>COUNTIFS(Requisitos!$F$2:$F$30,$A10,Requisitos!$G$2:$G$30,E$8)</f>
        <v>0</v>
      </c>
    </row>
    <row r="11" spans="1:5" x14ac:dyDescent="0.3">
      <c r="A11" s="7" t="s">
        <v>6</v>
      </c>
      <c r="B11" s="8">
        <f>SUM(B9:B10)</f>
        <v>29</v>
      </c>
      <c r="C11" s="8">
        <f>SUM(C9:C10)</f>
        <v>29</v>
      </c>
      <c r="D11" s="8">
        <f>SUM(D9:D10)</f>
        <v>0</v>
      </c>
      <c r="E11" s="8">
        <f>SUM(E9:E10)</f>
        <v>0</v>
      </c>
    </row>
    <row r="13" spans="1:5" x14ac:dyDescent="0.3">
      <c r="A13" s="3" t="s">
        <v>12</v>
      </c>
    </row>
    <row r="14" spans="1:5" x14ac:dyDescent="0.3">
      <c r="A14" s="2" t="s">
        <v>13</v>
      </c>
    </row>
    <row r="15" spans="1:5" x14ac:dyDescent="0.3">
      <c r="A15" s="2" t="s">
        <v>14</v>
      </c>
    </row>
    <row r="16" spans="1:5" x14ac:dyDescent="0.3">
      <c r="A16" s="2" t="s">
        <v>15</v>
      </c>
    </row>
    <row r="17" spans="1:1" x14ac:dyDescent="0.3">
      <c r="A17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30"/>
  <sheetViews>
    <sheetView tabSelected="1" zoomScale="88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4" sqref="C24"/>
    </sheetView>
  </sheetViews>
  <sheetFormatPr defaultColWidth="8.6640625" defaultRowHeight="14.4" x14ac:dyDescent="0.3"/>
  <cols>
    <col min="1" max="1" width="9" customWidth="1"/>
    <col min="2" max="2" width="7" customWidth="1"/>
    <col min="3" max="3" width="70" customWidth="1"/>
    <col min="4" max="4" width="17" customWidth="1"/>
    <col min="5" max="5" width="14" customWidth="1"/>
    <col min="6" max="6" width="11" customWidth="1"/>
    <col min="7" max="7" width="14" customWidth="1"/>
    <col min="8" max="8" width="16" customWidth="1"/>
    <col min="9" max="9" width="42" customWidth="1"/>
  </cols>
  <sheetData>
    <row r="1" spans="1:9" ht="27.75" customHeight="1" x14ac:dyDescent="0.3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5</v>
      </c>
      <c r="G1" s="9" t="s">
        <v>22</v>
      </c>
      <c r="H1" s="9" t="s">
        <v>23</v>
      </c>
      <c r="I1" s="9" t="s">
        <v>24</v>
      </c>
    </row>
    <row r="2" spans="1:9" ht="26.4" hidden="1" x14ac:dyDescent="0.3">
      <c r="A2" s="10" t="s">
        <v>25</v>
      </c>
      <c r="B2" s="10" t="s">
        <v>26</v>
      </c>
      <c r="C2" s="10" t="s">
        <v>27</v>
      </c>
      <c r="D2" s="10" t="s">
        <v>28</v>
      </c>
      <c r="E2" s="10" t="s">
        <v>29</v>
      </c>
      <c r="F2" s="10" t="s">
        <v>10</v>
      </c>
      <c r="G2" s="11" t="s">
        <v>7</v>
      </c>
      <c r="H2" s="12"/>
      <c r="I2" s="10" t="s">
        <v>30</v>
      </c>
    </row>
    <row r="3" spans="1:9" ht="26.4" hidden="1" x14ac:dyDescent="0.3">
      <c r="A3" s="10" t="s">
        <v>31</v>
      </c>
      <c r="B3" s="10" t="s">
        <v>26</v>
      </c>
      <c r="C3" s="10" t="s">
        <v>32</v>
      </c>
      <c r="D3" s="10" t="s">
        <v>33</v>
      </c>
      <c r="E3" s="10" t="s">
        <v>34</v>
      </c>
      <c r="F3" s="10" t="s">
        <v>10</v>
      </c>
      <c r="G3" s="11" t="s">
        <v>7</v>
      </c>
      <c r="H3" s="12"/>
      <c r="I3" s="10"/>
    </row>
    <row r="4" spans="1:9" ht="39.6" hidden="1" x14ac:dyDescent="0.3">
      <c r="A4" s="10" t="s">
        <v>35</v>
      </c>
      <c r="B4" s="10" t="s">
        <v>26</v>
      </c>
      <c r="C4" s="10" t="s">
        <v>36</v>
      </c>
      <c r="D4" s="10" t="s">
        <v>37</v>
      </c>
      <c r="E4" s="10" t="s">
        <v>38</v>
      </c>
      <c r="F4" s="10" t="s">
        <v>10</v>
      </c>
      <c r="G4" s="11" t="s">
        <v>7</v>
      </c>
      <c r="H4" s="12"/>
      <c r="I4" s="10" t="s">
        <v>39</v>
      </c>
    </row>
    <row r="5" spans="1:9" x14ac:dyDescent="0.3">
      <c r="A5" s="10" t="s">
        <v>40</v>
      </c>
      <c r="B5" s="10" t="s">
        <v>26</v>
      </c>
      <c r="C5" s="10" t="s">
        <v>41</v>
      </c>
      <c r="D5" s="10" t="s">
        <v>33</v>
      </c>
      <c r="E5" s="10" t="s">
        <v>29</v>
      </c>
      <c r="F5" s="10" t="s">
        <v>11</v>
      </c>
      <c r="G5" s="11" t="s">
        <v>7</v>
      </c>
      <c r="H5" s="12"/>
      <c r="I5" s="10" t="s">
        <v>42</v>
      </c>
    </row>
    <row r="6" spans="1:9" ht="52.8" hidden="1" x14ac:dyDescent="0.3">
      <c r="A6" s="10" t="s">
        <v>43</v>
      </c>
      <c r="B6" s="10" t="s">
        <v>26</v>
      </c>
      <c r="C6" s="10" t="s">
        <v>44</v>
      </c>
      <c r="D6" s="10" t="s">
        <v>28</v>
      </c>
      <c r="E6" s="10" t="s">
        <v>45</v>
      </c>
      <c r="F6" s="10" t="s">
        <v>10</v>
      </c>
      <c r="G6" s="11" t="s">
        <v>7</v>
      </c>
      <c r="H6" s="12"/>
      <c r="I6" s="10" t="s">
        <v>46</v>
      </c>
    </row>
    <row r="7" spans="1:9" x14ac:dyDescent="0.3">
      <c r="A7" s="10" t="s">
        <v>47</v>
      </c>
      <c r="B7" s="10" t="s">
        <v>26</v>
      </c>
      <c r="C7" s="10" t="s">
        <v>48</v>
      </c>
      <c r="D7" s="10" t="s">
        <v>33</v>
      </c>
      <c r="E7" s="10" t="s">
        <v>29</v>
      </c>
      <c r="F7" s="10" t="s">
        <v>11</v>
      </c>
      <c r="G7" s="11" t="s">
        <v>7</v>
      </c>
      <c r="H7" s="12"/>
      <c r="I7" s="10"/>
    </row>
    <row r="8" spans="1:9" hidden="1" x14ac:dyDescent="0.3">
      <c r="A8" s="10" t="s">
        <v>49</v>
      </c>
      <c r="B8" s="10" t="s">
        <v>26</v>
      </c>
      <c r="C8" s="10" t="s">
        <v>50</v>
      </c>
      <c r="D8" s="10" t="s">
        <v>33</v>
      </c>
      <c r="E8" s="10" t="s">
        <v>51</v>
      </c>
      <c r="F8" s="10" t="s">
        <v>10</v>
      </c>
      <c r="G8" s="11" t="s">
        <v>7</v>
      </c>
      <c r="H8" s="12"/>
      <c r="I8" s="10" t="s">
        <v>52</v>
      </c>
    </row>
    <row r="9" spans="1:9" hidden="1" x14ac:dyDescent="0.3">
      <c r="A9" s="10" t="s">
        <v>53</v>
      </c>
      <c r="B9" s="10" t="s">
        <v>26</v>
      </c>
      <c r="C9" s="10" t="s">
        <v>54</v>
      </c>
      <c r="D9" s="10" t="s">
        <v>37</v>
      </c>
      <c r="E9" s="10" t="s">
        <v>55</v>
      </c>
      <c r="F9" s="10" t="s">
        <v>10</v>
      </c>
      <c r="G9" s="11" t="s">
        <v>7</v>
      </c>
      <c r="H9" s="12"/>
      <c r="I9" s="10"/>
    </row>
    <row r="10" spans="1:9" hidden="1" x14ac:dyDescent="0.3">
      <c r="A10" s="10" t="s">
        <v>56</v>
      </c>
      <c r="B10" s="10" t="s">
        <v>26</v>
      </c>
      <c r="C10" s="10" t="s">
        <v>57</v>
      </c>
      <c r="D10" s="10" t="s">
        <v>58</v>
      </c>
      <c r="E10" s="10" t="s">
        <v>59</v>
      </c>
      <c r="F10" s="10" t="s">
        <v>10</v>
      </c>
      <c r="G10" s="11" t="s">
        <v>7</v>
      </c>
      <c r="H10" s="12"/>
      <c r="I10" s="10"/>
    </row>
    <row r="11" spans="1:9" ht="26.4" hidden="1" x14ac:dyDescent="0.3">
      <c r="A11" s="10" t="s">
        <v>60</v>
      </c>
      <c r="B11" s="10" t="s">
        <v>26</v>
      </c>
      <c r="C11" s="10" t="s">
        <v>61</v>
      </c>
      <c r="D11" s="10" t="s">
        <v>58</v>
      </c>
      <c r="E11" s="10" t="s">
        <v>62</v>
      </c>
      <c r="F11" s="10" t="s">
        <v>10</v>
      </c>
      <c r="G11" s="11" t="s">
        <v>7</v>
      </c>
      <c r="H11" s="12"/>
      <c r="I11" s="10"/>
    </row>
    <row r="12" spans="1:9" ht="52.8" x14ac:dyDescent="0.3">
      <c r="A12" s="10" t="s">
        <v>63</v>
      </c>
      <c r="B12" s="10" t="s">
        <v>26</v>
      </c>
      <c r="C12" s="10" t="s">
        <v>64</v>
      </c>
      <c r="D12" s="10" t="s">
        <v>28</v>
      </c>
      <c r="E12" s="10" t="s">
        <v>65</v>
      </c>
      <c r="F12" s="10" t="s">
        <v>11</v>
      </c>
      <c r="G12" s="11" t="s">
        <v>7</v>
      </c>
      <c r="H12" s="12"/>
      <c r="I12" s="10" t="s">
        <v>66</v>
      </c>
    </row>
    <row r="13" spans="1:9" x14ac:dyDescent="0.3">
      <c r="A13" s="10" t="s">
        <v>67</v>
      </c>
      <c r="B13" s="10" t="s">
        <v>26</v>
      </c>
      <c r="C13" s="10" t="s">
        <v>68</v>
      </c>
      <c r="D13" s="10" t="s">
        <v>33</v>
      </c>
      <c r="E13" s="10" t="s">
        <v>65</v>
      </c>
      <c r="F13" s="10" t="s">
        <v>11</v>
      </c>
      <c r="G13" s="11" t="s">
        <v>7</v>
      </c>
      <c r="H13" s="12"/>
      <c r="I13" s="10" t="s">
        <v>69</v>
      </c>
    </row>
    <row r="14" spans="1:9" x14ac:dyDescent="0.3">
      <c r="A14" s="10" t="s">
        <v>70</v>
      </c>
      <c r="B14" s="10" t="s">
        <v>26</v>
      </c>
      <c r="C14" s="10" t="s">
        <v>71</v>
      </c>
      <c r="D14" s="10" t="s">
        <v>33</v>
      </c>
      <c r="E14" s="10" t="s">
        <v>65</v>
      </c>
      <c r="F14" s="10" t="s">
        <v>11</v>
      </c>
      <c r="G14" s="11" t="s">
        <v>7</v>
      </c>
      <c r="H14" s="12"/>
      <c r="I14" s="10"/>
    </row>
    <row r="15" spans="1:9" ht="26.4" hidden="1" x14ac:dyDescent="0.3">
      <c r="A15" s="10" t="s">
        <v>72</v>
      </c>
      <c r="B15" s="10" t="s">
        <v>26</v>
      </c>
      <c r="C15" s="10" t="s">
        <v>73</v>
      </c>
      <c r="D15" s="10" t="s">
        <v>74</v>
      </c>
      <c r="E15" s="10" t="s">
        <v>75</v>
      </c>
      <c r="F15" s="10" t="s">
        <v>10</v>
      </c>
      <c r="G15" s="11" t="s">
        <v>7</v>
      </c>
      <c r="H15" s="12"/>
      <c r="I15" s="10" t="s">
        <v>76</v>
      </c>
    </row>
    <row r="16" spans="1:9" ht="26.4" hidden="1" x14ac:dyDescent="0.3">
      <c r="A16" s="10" t="s">
        <v>77</v>
      </c>
      <c r="B16" s="10" t="s">
        <v>26</v>
      </c>
      <c r="C16" s="10" t="s">
        <v>78</v>
      </c>
      <c r="D16" s="10" t="s">
        <v>58</v>
      </c>
      <c r="E16" s="10" t="s">
        <v>79</v>
      </c>
      <c r="F16" s="10" t="s">
        <v>10</v>
      </c>
      <c r="G16" s="11" t="s">
        <v>7</v>
      </c>
      <c r="H16" s="12"/>
      <c r="I16" s="10"/>
    </row>
    <row r="17" spans="1:9" x14ac:dyDescent="0.3">
      <c r="A17" s="10" t="s">
        <v>80</v>
      </c>
      <c r="B17" s="10" t="s">
        <v>26</v>
      </c>
      <c r="C17" s="10" t="s">
        <v>81</v>
      </c>
      <c r="D17" s="10" t="s">
        <v>58</v>
      </c>
      <c r="E17" s="10" t="s">
        <v>82</v>
      </c>
      <c r="F17" s="10" t="s">
        <v>11</v>
      </c>
      <c r="G17" s="11" t="s">
        <v>7</v>
      </c>
      <c r="H17" s="12"/>
      <c r="I17" s="10"/>
    </row>
    <row r="18" spans="1:9" ht="52.8" x14ac:dyDescent="0.3">
      <c r="A18" s="10" t="s">
        <v>83</v>
      </c>
      <c r="B18" s="10" t="s">
        <v>26</v>
      </c>
      <c r="C18" s="10" t="s">
        <v>84</v>
      </c>
      <c r="D18" s="10" t="s">
        <v>85</v>
      </c>
      <c r="E18" s="10" t="s">
        <v>65</v>
      </c>
      <c r="F18" s="10" t="s">
        <v>11</v>
      </c>
      <c r="G18" s="11" t="s">
        <v>7</v>
      </c>
      <c r="H18" s="12"/>
      <c r="I18" s="10" t="s">
        <v>86</v>
      </c>
    </row>
    <row r="19" spans="1:9" x14ac:dyDescent="0.3">
      <c r="A19" s="10" t="s">
        <v>87</v>
      </c>
      <c r="B19" s="10" t="s">
        <v>26</v>
      </c>
      <c r="C19" s="10" t="s">
        <v>88</v>
      </c>
      <c r="D19" s="10" t="s">
        <v>89</v>
      </c>
      <c r="E19" s="10" t="s">
        <v>65</v>
      </c>
      <c r="F19" s="10" t="s">
        <v>11</v>
      </c>
      <c r="G19" s="11" t="s">
        <v>7</v>
      </c>
      <c r="H19" s="12"/>
      <c r="I19" s="10" t="s">
        <v>90</v>
      </c>
    </row>
    <row r="20" spans="1:9" ht="26.4" hidden="1" x14ac:dyDescent="0.3">
      <c r="A20" s="10" t="s">
        <v>91</v>
      </c>
      <c r="B20" s="10" t="s">
        <v>26</v>
      </c>
      <c r="C20" s="10" t="s">
        <v>92</v>
      </c>
      <c r="D20" s="10" t="s">
        <v>85</v>
      </c>
      <c r="E20" s="10" t="s">
        <v>93</v>
      </c>
      <c r="F20" s="10" t="s">
        <v>10</v>
      </c>
      <c r="G20" s="11" t="s">
        <v>7</v>
      </c>
      <c r="H20" s="12"/>
      <c r="I20" s="10" t="s">
        <v>94</v>
      </c>
    </row>
    <row r="21" spans="1:9" hidden="1" x14ac:dyDescent="0.3">
      <c r="A21" s="10" t="s">
        <v>95</v>
      </c>
      <c r="B21" s="10" t="s">
        <v>96</v>
      </c>
      <c r="C21" s="10" t="s">
        <v>97</v>
      </c>
      <c r="D21" s="10" t="s">
        <v>37</v>
      </c>
      <c r="E21" s="10" t="s">
        <v>38</v>
      </c>
      <c r="F21" s="10" t="s">
        <v>10</v>
      </c>
      <c r="G21" s="11" t="s">
        <v>7</v>
      </c>
      <c r="H21" s="12"/>
      <c r="I21" s="10"/>
    </row>
    <row r="22" spans="1:9" ht="26.4" hidden="1" x14ac:dyDescent="0.3">
      <c r="A22" s="10" t="s">
        <v>98</v>
      </c>
      <c r="B22" s="10" t="s">
        <v>96</v>
      </c>
      <c r="C22" s="10" t="s">
        <v>255</v>
      </c>
      <c r="D22" s="10" t="s">
        <v>58</v>
      </c>
      <c r="E22" s="10" t="s">
        <v>99</v>
      </c>
      <c r="F22" s="10" t="s">
        <v>10</v>
      </c>
      <c r="G22" s="11" t="s">
        <v>7</v>
      </c>
      <c r="H22" s="12"/>
      <c r="I22" s="10"/>
    </row>
    <row r="23" spans="1:9" ht="26.4" hidden="1" x14ac:dyDescent="0.3">
      <c r="A23" s="10" t="s">
        <v>100</v>
      </c>
      <c r="B23" s="10" t="s">
        <v>96</v>
      </c>
      <c r="C23" s="10" t="s">
        <v>101</v>
      </c>
      <c r="D23" s="10" t="s">
        <v>58</v>
      </c>
      <c r="E23" s="10" t="s">
        <v>102</v>
      </c>
      <c r="F23" s="10" t="s">
        <v>10</v>
      </c>
      <c r="G23" s="11" t="s">
        <v>7</v>
      </c>
      <c r="H23" s="12"/>
      <c r="I23" s="10"/>
    </row>
    <row r="24" spans="1:9" ht="26.4" hidden="1" x14ac:dyDescent="0.3">
      <c r="A24" s="10" t="s">
        <v>103</v>
      </c>
      <c r="B24" s="10" t="s">
        <v>96</v>
      </c>
      <c r="C24" s="16" t="s">
        <v>104</v>
      </c>
      <c r="D24" s="10" t="s">
        <v>58</v>
      </c>
      <c r="E24" s="10" t="s">
        <v>102</v>
      </c>
      <c r="F24" s="10" t="s">
        <v>10</v>
      </c>
      <c r="G24" s="11" t="s">
        <v>7</v>
      </c>
      <c r="H24" s="12"/>
      <c r="I24" s="10"/>
    </row>
    <row r="25" spans="1:9" ht="26.4" x14ac:dyDescent="0.3">
      <c r="A25" s="10" t="s">
        <v>105</v>
      </c>
      <c r="B25" s="10" t="s">
        <v>96</v>
      </c>
      <c r="C25" s="10" t="s">
        <v>106</v>
      </c>
      <c r="D25" s="10" t="s">
        <v>58</v>
      </c>
      <c r="E25" s="10" t="s">
        <v>107</v>
      </c>
      <c r="F25" s="10" t="s">
        <v>11</v>
      </c>
      <c r="G25" s="11" t="s">
        <v>7</v>
      </c>
      <c r="H25" s="12"/>
      <c r="I25" s="10" t="s">
        <v>108</v>
      </c>
    </row>
    <row r="26" spans="1:9" ht="26.4" x14ac:dyDescent="0.3">
      <c r="A26" s="10" t="s">
        <v>109</v>
      </c>
      <c r="B26" s="10" t="s">
        <v>96</v>
      </c>
      <c r="C26" s="10" t="s">
        <v>110</v>
      </c>
      <c r="D26" s="10" t="s">
        <v>58</v>
      </c>
      <c r="E26" s="10" t="s">
        <v>111</v>
      </c>
      <c r="F26" s="10" t="s">
        <v>11</v>
      </c>
      <c r="G26" s="11" t="s">
        <v>7</v>
      </c>
      <c r="H26" s="12"/>
      <c r="I26" s="10"/>
    </row>
    <row r="27" spans="1:9" ht="26.4" x14ac:dyDescent="0.3">
      <c r="A27" s="10" t="s">
        <v>112</v>
      </c>
      <c r="B27" s="10" t="s">
        <v>96</v>
      </c>
      <c r="C27" s="10" t="s">
        <v>113</v>
      </c>
      <c r="D27" s="10" t="s">
        <v>58</v>
      </c>
      <c r="E27" s="10" t="s">
        <v>114</v>
      </c>
      <c r="F27" s="10" t="s">
        <v>11</v>
      </c>
      <c r="G27" s="11" t="s">
        <v>7</v>
      </c>
      <c r="H27" s="12"/>
      <c r="I27" s="10"/>
    </row>
    <row r="28" spans="1:9" hidden="1" x14ac:dyDescent="0.3">
      <c r="A28" s="10" t="s">
        <v>115</v>
      </c>
      <c r="B28" s="10" t="s">
        <v>96</v>
      </c>
      <c r="C28" s="10" t="s">
        <v>116</v>
      </c>
      <c r="D28" s="10" t="s">
        <v>58</v>
      </c>
      <c r="E28" s="10" t="s">
        <v>117</v>
      </c>
      <c r="F28" s="10" t="s">
        <v>10</v>
      </c>
      <c r="G28" s="11" t="s">
        <v>7</v>
      </c>
      <c r="H28" s="12"/>
      <c r="I28" s="10"/>
    </row>
    <row r="29" spans="1:9" ht="26.4" x14ac:dyDescent="0.3">
      <c r="A29" s="10" t="s">
        <v>118</v>
      </c>
      <c r="B29" s="10" t="s">
        <v>96</v>
      </c>
      <c r="C29" s="10" t="s">
        <v>119</v>
      </c>
      <c r="D29" s="10" t="s">
        <v>58</v>
      </c>
      <c r="E29" s="10" t="s">
        <v>120</v>
      </c>
      <c r="F29" s="10" t="s">
        <v>11</v>
      </c>
      <c r="G29" s="11" t="s">
        <v>7</v>
      </c>
      <c r="H29" s="12"/>
      <c r="I29" s="10"/>
    </row>
    <row r="30" spans="1:9" ht="26.4" x14ac:dyDescent="0.3">
      <c r="A30" s="10" t="s">
        <v>121</v>
      </c>
      <c r="B30" s="10" t="s">
        <v>96</v>
      </c>
      <c r="C30" s="10" t="s">
        <v>122</v>
      </c>
      <c r="D30" s="10" t="s">
        <v>85</v>
      </c>
      <c r="E30" s="10" t="s">
        <v>111</v>
      </c>
      <c r="F30" s="10" t="s">
        <v>11</v>
      </c>
      <c r="G30" s="11" t="s">
        <v>7</v>
      </c>
      <c r="H30" s="12"/>
      <c r="I30" s="10" t="s">
        <v>123</v>
      </c>
    </row>
  </sheetData>
  <autoFilter ref="A1:I30" xr:uid="{00000000-0009-0000-0000-000001000000}">
    <filterColumn colId="5">
      <filters>
        <filter val="P2"/>
      </filters>
    </filterColumn>
  </autoFilter>
  <dataValidations count="2">
    <dataValidation type="list" sqref="G2:G30" xr:uid="{00000000-0002-0000-0100-000000000000}">
      <formula1>"Pendente,Em andamento,Concluído"</formula1>
      <formula2>0</formula2>
    </dataValidation>
    <dataValidation type="list" sqref="F2:F30" xr:uid="{00000000-0002-0000-0100-000001000000}">
      <formula1>"P1,P2"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42" customWidth="1"/>
    <col min="2" max="2" width="12" customWidth="1"/>
    <col min="3" max="3" width="10" customWidth="1"/>
    <col min="4" max="4" width="60" customWidth="1"/>
  </cols>
  <sheetData>
    <row r="1" spans="1:4" x14ac:dyDescent="0.3">
      <c r="A1" s="9" t="s">
        <v>124</v>
      </c>
      <c r="B1" s="9" t="s">
        <v>125</v>
      </c>
      <c r="C1" s="9" t="s">
        <v>126</v>
      </c>
      <c r="D1" s="9" t="s">
        <v>127</v>
      </c>
    </row>
    <row r="2" spans="1:4" x14ac:dyDescent="0.3">
      <c r="A2" s="10" t="s">
        <v>128</v>
      </c>
      <c r="B2" s="11">
        <v>1</v>
      </c>
      <c r="C2" s="10" t="s">
        <v>129</v>
      </c>
      <c r="D2" s="10" t="s">
        <v>130</v>
      </c>
    </row>
    <row r="3" spans="1:4" x14ac:dyDescent="0.3">
      <c r="A3" s="10" t="s">
        <v>131</v>
      </c>
      <c r="B3" s="11">
        <v>20</v>
      </c>
      <c r="C3" s="10" t="s">
        <v>129</v>
      </c>
      <c r="D3" s="10" t="s">
        <v>132</v>
      </c>
    </row>
    <row r="4" spans="1:4" x14ac:dyDescent="0.3">
      <c r="A4" s="10" t="s">
        <v>133</v>
      </c>
      <c r="B4" s="11">
        <v>60</v>
      </c>
      <c r="C4" s="10" t="s">
        <v>129</v>
      </c>
      <c r="D4" s="10" t="s">
        <v>132</v>
      </c>
    </row>
    <row r="5" spans="1:4" x14ac:dyDescent="0.3">
      <c r="A5" s="10" t="s">
        <v>134</v>
      </c>
      <c r="B5" s="11">
        <v>45</v>
      </c>
      <c r="C5" s="10" t="s">
        <v>129</v>
      </c>
      <c r="D5" s="10" t="s">
        <v>135</v>
      </c>
    </row>
    <row r="6" spans="1:4" x14ac:dyDescent="0.3">
      <c r="A6" s="10" t="s">
        <v>136</v>
      </c>
      <c r="B6" s="11">
        <v>90</v>
      </c>
      <c r="C6" s="10" t="s">
        <v>129</v>
      </c>
      <c r="D6" s="10" t="s">
        <v>135</v>
      </c>
    </row>
    <row r="7" spans="1:4" x14ac:dyDescent="0.3">
      <c r="A7" s="10" t="s">
        <v>137</v>
      </c>
      <c r="B7" s="11">
        <v>15</v>
      </c>
      <c r="C7" s="10" t="s">
        <v>129</v>
      </c>
      <c r="D7" s="10" t="s">
        <v>135</v>
      </c>
    </row>
    <row r="8" spans="1:4" x14ac:dyDescent="0.3">
      <c r="A8" s="10" t="s">
        <v>138</v>
      </c>
      <c r="B8" s="11">
        <v>30</v>
      </c>
      <c r="C8" s="10" t="s">
        <v>129</v>
      </c>
      <c r="D8" s="10" t="s">
        <v>135</v>
      </c>
    </row>
    <row r="9" spans="1:4" x14ac:dyDescent="0.3">
      <c r="A9" s="10" t="s">
        <v>139</v>
      </c>
      <c r="B9" s="11">
        <v>5</v>
      </c>
      <c r="C9" s="10" t="s">
        <v>129</v>
      </c>
      <c r="D9" s="10" t="s">
        <v>140</v>
      </c>
    </row>
    <row r="10" spans="1:4" x14ac:dyDescent="0.3">
      <c r="A10" s="10" t="s">
        <v>141</v>
      </c>
      <c r="B10" s="11">
        <v>120</v>
      </c>
      <c r="C10" s="10" t="s">
        <v>129</v>
      </c>
      <c r="D10" s="10" t="s">
        <v>142</v>
      </c>
    </row>
    <row r="11" spans="1:4" x14ac:dyDescent="0.3">
      <c r="A11" s="10" t="s">
        <v>143</v>
      </c>
      <c r="B11" s="11">
        <v>300</v>
      </c>
      <c r="C11" s="10" t="s">
        <v>129</v>
      </c>
      <c r="D11" s="10" t="s">
        <v>144</v>
      </c>
    </row>
    <row r="12" spans="1:4" x14ac:dyDescent="0.3">
      <c r="A12" s="10" t="s">
        <v>145</v>
      </c>
      <c r="B12" s="11">
        <v>600</v>
      </c>
      <c r="C12" s="10" t="s">
        <v>129</v>
      </c>
      <c r="D12" s="10" t="s">
        <v>146</v>
      </c>
    </row>
    <row r="13" spans="1:4" x14ac:dyDescent="0.3">
      <c r="A13" s="10" t="s">
        <v>147</v>
      </c>
      <c r="B13" s="13">
        <v>10000</v>
      </c>
      <c r="C13" s="10" t="s">
        <v>148</v>
      </c>
      <c r="D13" s="10" t="s">
        <v>149</v>
      </c>
    </row>
    <row r="14" spans="1:4" x14ac:dyDescent="0.3">
      <c r="A14" s="10" t="s">
        <v>150</v>
      </c>
      <c r="B14" s="13">
        <v>1</v>
      </c>
      <c r="C14" s="10" t="s">
        <v>148</v>
      </c>
      <c r="D14" s="10" t="s">
        <v>151</v>
      </c>
    </row>
    <row r="15" spans="1:4" x14ac:dyDescent="0.3">
      <c r="A15" s="10"/>
      <c r="B15" s="10"/>
      <c r="C15" s="10"/>
      <c r="D15" s="10"/>
    </row>
    <row r="16" spans="1:4" x14ac:dyDescent="0.3">
      <c r="A16" s="14" t="s">
        <v>152</v>
      </c>
      <c r="B16" s="10"/>
      <c r="C16" s="10"/>
      <c r="D16" s="10"/>
    </row>
    <row r="17" spans="1:4" x14ac:dyDescent="0.3">
      <c r="A17" s="10" t="s">
        <v>153</v>
      </c>
      <c r="B17" s="15">
        <f>AVERAGE(B3:B4)</f>
        <v>40</v>
      </c>
      <c r="C17" s="10" t="s">
        <v>129</v>
      </c>
      <c r="D17" s="10" t="s">
        <v>154</v>
      </c>
    </row>
    <row r="18" spans="1:4" x14ac:dyDescent="0.3">
      <c r="A18" s="10" t="s">
        <v>155</v>
      </c>
      <c r="B18" s="15">
        <f>B12/B17</f>
        <v>15</v>
      </c>
      <c r="C18" s="10" t="s">
        <v>156</v>
      </c>
      <c r="D18" s="10" t="s">
        <v>157</v>
      </c>
    </row>
    <row r="19" spans="1:4" x14ac:dyDescent="0.3">
      <c r="A19" s="10" t="s">
        <v>158</v>
      </c>
      <c r="B19" s="15">
        <f>AVERAGE(B5:B6)</f>
        <v>67.5</v>
      </c>
      <c r="C19" s="10" t="s">
        <v>129</v>
      </c>
      <c r="D19" s="10"/>
    </row>
    <row r="20" spans="1:4" x14ac:dyDescent="0.3">
      <c r="A20" s="10" t="s">
        <v>159</v>
      </c>
      <c r="B20" s="15">
        <f>B12/B19</f>
        <v>8.8888888888888893</v>
      </c>
      <c r="C20" s="10" t="s">
        <v>160</v>
      </c>
      <c r="D20" s="10" t="s">
        <v>161</v>
      </c>
    </row>
    <row r="21" spans="1:4" x14ac:dyDescent="0.3">
      <c r="A21" s="10" t="s">
        <v>162</v>
      </c>
      <c r="B21" s="10" t="str">
        <f>IF(B11&lt;B12,"Sim","Não")</f>
        <v>Sim</v>
      </c>
      <c r="C21" s="10"/>
      <c r="D21" s="10" t="s">
        <v>163</v>
      </c>
    </row>
  </sheetData>
  <autoFilter ref="A1:D2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" width="30" customWidth="1"/>
    <col min="3" max="3" width="11" customWidth="1"/>
    <col min="4" max="4" width="36" customWidth="1"/>
    <col min="5" max="5" width="12" customWidth="1"/>
    <col min="6" max="6" width="28" customWidth="1"/>
    <col min="7" max="7" width="46" customWidth="1"/>
  </cols>
  <sheetData>
    <row r="1" spans="1:7" x14ac:dyDescent="0.3">
      <c r="A1" s="9" t="s">
        <v>164</v>
      </c>
      <c r="B1" s="9" t="s">
        <v>165</v>
      </c>
      <c r="C1" s="9" t="s">
        <v>166</v>
      </c>
      <c r="D1" s="9" t="s">
        <v>167</v>
      </c>
      <c r="E1" s="9" t="s">
        <v>168</v>
      </c>
      <c r="F1" s="9" t="s">
        <v>169</v>
      </c>
      <c r="G1" s="9" t="s">
        <v>24</v>
      </c>
    </row>
    <row r="2" spans="1:7" x14ac:dyDescent="0.3">
      <c r="A2" s="10" t="s">
        <v>170</v>
      </c>
      <c r="B2" s="10" t="s">
        <v>171</v>
      </c>
      <c r="C2" s="10" t="s">
        <v>172</v>
      </c>
      <c r="D2" s="10" t="s">
        <v>173</v>
      </c>
      <c r="E2" s="10" t="s">
        <v>174</v>
      </c>
      <c r="F2" s="11"/>
      <c r="G2" s="10" t="s">
        <v>175</v>
      </c>
    </row>
    <row r="3" spans="1:7" x14ac:dyDescent="0.3">
      <c r="A3" s="10" t="s">
        <v>176</v>
      </c>
      <c r="B3" s="10" t="s">
        <v>177</v>
      </c>
      <c r="C3" s="10" t="s">
        <v>172</v>
      </c>
      <c r="D3" s="10" t="s">
        <v>178</v>
      </c>
      <c r="E3" s="10" t="s">
        <v>174</v>
      </c>
      <c r="F3" s="11"/>
      <c r="G3" s="10" t="s">
        <v>179</v>
      </c>
    </row>
    <row r="4" spans="1:7" x14ac:dyDescent="0.3">
      <c r="A4" s="10" t="s">
        <v>180</v>
      </c>
      <c r="B4" s="10" t="s">
        <v>181</v>
      </c>
      <c r="C4" s="10" t="s">
        <v>172</v>
      </c>
      <c r="D4" s="10" t="s">
        <v>182</v>
      </c>
      <c r="E4" s="10" t="s">
        <v>183</v>
      </c>
      <c r="F4" s="11" t="s">
        <v>184</v>
      </c>
      <c r="G4" s="10" t="s">
        <v>185</v>
      </c>
    </row>
    <row r="5" spans="1:7" x14ac:dyDescent="0.3">
      <c r="A5" s="10" t="s">
        <v>186</v>
      </c>
      <c r="B5" s="10" t="s">
        <v>187</v>
      </c>
      <c r="C5" s="10" t="s">
        <v>172</v>
      </c>
      <c r="D5" s="10" t="s">
        <v>188</v>
      </c>
      <c r="E5" s="10" t="s">
        <v>174</v>
      </c>
      <c r="F5" s="11"/>
      <c r="G5" s="10"/>
    </row>
    <row r="6" spans="1:7" ht="26.4" x14ac:dyDescent="0.3">
      <c r="A6" s="10" t="s">
        <v>189</v>
      </c>
      <c r="B6" s="10" t="s">
        <v>190</v>
      </c>
      <c r="C6" s="10" t="s">
        <v>172</v>
      </c>
      <c r="D6" s="10" t="s">
        <v>191</v>
      </c>
      <c r="E6" s="10" t="s">
        <v>183</v>
      </c>
      <c r="F6" s="11" t="s">
        <v>192</v>
      </c>
      <c r="G6" s="10" t="s">
        <v>193</v>
      </c>
    </row>
    <row r="7" spans="1:7" x14ac:dyDescent="0.3">
      <c r="A7" s="10" t="s">
        <v>194</v>
      </c>
      <c r="B7" s="10" t="s">
        <v>195</v>
      </c>
      <c r="C7" s="10" t="s">
        <v>172</v>
      </c>
      <c r="D7" s="10" t="s">
        <v>196</v>
      </c>
      <c r="E7" s="10" t="s">
        <v>174</v>
      </c>
      <c r="F7" s="11"/>
      <c r="G7" s="10" t="s">
        <v>197</v>
      </c>
    </row>
    <row r="8" spans="1:7" x14ac:dyDescent="0.3">
      <c r="A8" s="10" t="s">
        <v>198</v>
      </c>
      <c r="B8" s="10" t="s">
        <v>199</v>
      </c>
      <c r="C8" s="10" t="s">
        <v>200</v>
      </c>
      <c r="D8" s="10" t="s">
        <v>201</v>
      </c>
      <c r="E8" s="10" t="s">
        <v>174</v>
      </c>
      <c r="F8" s="11"/>
      <c r="G8" s="10" t="s">
        <v>202</v>
      </c>
    </row>
    <row r="9" spans="1:7" x14ac:dyDescent="0.3">
      <c r="A9" s="10" t="s">
        <v>203</v>
      </c>
      <c r="B9" s="10" t="s">
        <v>204</v>
      </c>
      <c r="C9" s="10" t="s">
        <v>200</v>
      </c>
      <c r="D9" s="10" t="s">
        <v>201</v>
      </c>
      <c r="E9" s="10" t="s">
        <v>174</v>
      </c>
      <c r="F9" s="11"/>
      <c r="G9" s="10"/>
    </row>
    <row r="10" spans="1:7" x14ac:dyDescent="0.3">
      <c r="A10" s="10" t="s">
        <v>205</v>
      </c>
      <c r="B10" s="10" t="s">
        <v>206</v>
      </c>
      <c r="C10" s="10" t="s">
        <v>200</v>
      </c>
      <c r="D10" s="10" t="s">
        <v>207</v>
      </c>
      <c r="E10" s="10" t="s">
        <v>174</v>
      </c>
      <c r="F10" s="11"/>
      <c r="G10" s="10" t="s">
        <v>208</v>
      </c>
    </row>
    <row r="11" spans="1:7" x14ac:dyDescent="0.3">
      <c r="A11" s="10" t="s">
        <v>209</v>
      </c>
      <c r="B11" s="10" t="s">
        <v>210</v>
      </c>
      <c r="C11" s="10" t="s">
        <v>211</v>
      </c>
      <c r="D11" s="10" t="s">
        <v>212</v>
      </c>
      <c r="E11" s="10" t="s">
        <v>174</v>
      </c>
      <c r="F11" s="11"/>
      <c r="G11" s="10" t="s">
        <v>213</v>
      </c>
    </row>
  </sheetData>
  <autoFilter ref="A1:G11" xr:uid="{00000000-0009-0000-0000-000003000000}"/>
  <dataValidations count="1">
    <dataValidation type="list" sqref="E2:E11" xr:uid="{00000000-0002-0000-0300-000000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7" customWidth="1"/>
    <col min="2" max="2" width="32" customWidth="1"/>
    <col min="3" max="3" width="80" customWidth="1"/>
    <col min="4" max="4" width="16" customWidth="1"/>
  </cols>
  <sheetData>
    <row r="1" spans="1:4" x14ac:dyDescent="0.3">
      <c r="A1" s="9" t="s">
        <v>214</v>
      </c>
      <c r="B1" s="9" t="s">
        <v>85</v>
      </c>
      <c r="C1" s="9" t="s">
        <v>215</v>
      </c>
      <c r="D1" s="9" t="s">
        <v>216</v>
      </c>
    </row>
    <row r="2" spans="1:4" ht="26.4" x14ac:dyDescent="0.3">
      <c r="A2" s="10" t="s">
        <v>217</v>
      </c>
      <c r="B2" s="10" t="s">
        <v>218</v>
      </c>
      <c r="C2" s="10" t="s">
        <v>219</v>
      </c>
      <c r="D2" s="10" t="s">
        <v>220</v>
      </c>
    </row>
    <row r="3" spans="1:4" ht="26.4" x14ac:dyDescent="0.3">
      <c r="A3" s="10" t="s">
        <v>221</v>
      </c>
      <c r="B3" s="10" t="s">
        <v>222</v>
      </c>
      <c r="C3" s="10" t="s">
        <v>223</v>
      </c>
      <c r="D3" s="10" t="s">
        <v>220</v>
      </c>
    </row>
    <row r="4" spans="1:4" x14ac:dyDescent="0.3">
      <c r="A4" s="10" t="s">
        <v>224</v>
      </c>
      <c r="B4" s="10" t="s">
        <v>225</v>
      </c>
      <c r="C4" s="10" t="s">
        <v>226</v>
      </c>
      <c r="D4" s="10" t="s">
        <v>220</v>
      </c>
    </row>
    <row r="5" spans="1:4" x14ac:dyDescent="0.3">
      <c r="A5" s="10" t="s">
        <v>227</v>
      </c>
      <c r="B5" s="10" t="s">
        <v>228</v>
      </c>
      <c r="C5" s="10" t="s">
        <v>229</v>
      </c>
      <c r="D5" s="10" t="s">
        <v>220</v>
      </c>
    </row>
    <row r="6" spans="1:4" x14ac:dyDescent="0.3">
      <c r="A6" s="10" t="s">
        <v>230</v>
      </c>
      <c r="B6" s="10" t="s">
        <v>231</v>
      </c>
      <c r="C6" s="10" t="s">
        <v>232</v>
      </c>
      <c r="D6" s="10" t="s">
        <v>220</v>
      </c>
    </row>
    <row r="7" spans="1:4" x14ac:dyDescent="0.3">
      <c r="A7" s="10" t="s">
        <v>233</v>
      </c>
      <c r="B7" s="10" t="s">
        <v>234</v>
      </c>
      <c r="C7" s="10" t="s">
        <v>235</v>
      </c>
      <c r="D7" s="10" t="s">
        <v>220</v>
      </c>
    </row>
    <row r="8" spans="1:4" x14ac:dyDescent="0.3">
      <c r="A8" s="10" t="s">
        <v>236</v>
      </c>
      <c r="B8" s="10" t="s">
        <v>237</v>
      </c>
      <c r="C8" s="10" t="s">
        <v>238</v>
      </c>
      <c r="D8" s="10" t="s">
        <v>220</v>
      </c>
    </row>
    <row r="9" spans="1:4" x14ac:dyDescent="0.3">
      <c r="A9" s="10" t="s">
        <v>239</v>
      </c>
      <c r="B9" s="10" t="s">
        <v>240</v>
      </c>
      <c r="C9" s="10" t="s">
        <v>241</v>
      </c>
      <c r="D9" s="10" t="s">
        <v>220</v>
      </c>
    </row>
    <row r="10" spans="1:4" ht="26.4" x14ac:dyDescent="0.3">
      <c r="A10" s="10" t="s">
        <v>242</v>
      </c>
      <c r="B10" s="10" t="s">
        <v>243</v>
      </c>
      <c r="C10" s="10" t="s">
        <v>244</v>
      </c>
      <c r="D10" s="10" t="s">
        <v>220</v>
      </c>
    </row>
    <row r="11" spans="1:4" x14ac:dyDescent="0.3">
      <c r="A11" s="10" t="s">
        <v>245</v>
      </c>
      <c r="B11" s="10" t="s">
        <v>246</v>
      </c>
      <c r="C11" s="10" t="s">
        <v>247</v>
      </c>
      <c r="D11" s="10" t="s">
        <v>248</v>
      </c>
    </row>
    <row r="12" spans="1:4" ht="26.4" x14ac:dyDescent="0.3">
      <c r="A12" s="10" t="s">
        <v>249</v>
      </c>
      <c r="B12" s="10" t="s">
        <v>250</v>
      </c>
      <c r="C12" s="10" t="s">
        <v>251</v>
      </c>
      <c r="D12" s="10" t="s">
        <v>220</v>
      </c>
    </row>
    <row r="13" spans="1:4" x14ac:dyDescent="0.3">
      <c r="A13" s="10" t="s">
        <v>252</v>
      </c>
      <c r="B13" s="10" t="s">
        <v>253</v>
      </c>
      <c r="C13" s="10" t="s">
        <v>254</v>
      </c>
      <c r="D13" s="10" t="s">
        <v>220</v>
      </c>
    </row>
  </sheetData>
  <autoFilter ref="A1:D13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Requisitos</vt:lpstr>
      <vt:lpstr>Parâmetros</vt:lpstr>
      <vt:lpstr>Ativos</vt:lpstr>
      <vt:lpstr>Decisões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.SMART DATACENTER | Cloud, IA e Cibersegurança</cp:lastModifiedBy>
  <cp:revision>0</cp:revision>
  <dcterms:created xsi:type="dcterms:W3CDTF">2026-10-18T16:43:01Z</dcterms:created>
  <dcterms:modified xsi:type="dcterms:W3CDTF">2026-10-18T16:51:07Z</dcterms:modified>
  <dc:language>en-US</dc:language>
</cp:coreProperties>
</file>